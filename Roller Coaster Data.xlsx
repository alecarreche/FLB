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ec/Desktop/"/>
    </mc:Choice>
  </mc:AlternateContent>
  <xr:revisionPtr revIDLastSave="0" documentId="8_{09599EC8-D9E6-F24E-9CF1-ADE4CAEC52F5}" xr6:coauthVersionLast="45" xr6:coauthVersionMax="45" xr10:uidLastSave="{00000000-0000-0000-0000-000000000000}"/>
  <bookViews>
    <workbookView xWindow="0" yWindow="460" windowWidth="25860" windowHeight="17540" activeTab="1" xr2:uid="{521E747C-A4D4-48E4-82C4-FE97649A5E2A}"/>
  </bookViews>
  <sheets>
    <sheet name="Coaster_Data" sheetId="1" r:id="rId1"/>
    <sheet name="Park_Data" sheetId="2" r:id="rId2"/>
    <sheet name="Data Dictionary" sheetId="3" r:id="rId3"/>
  </sheets>
  <definedNames>
    <definedName name="_xlnm._FilterDatabase" localSheetId="0" hidden="1">Coaster_Data!$A$1:$Q$52</definedName>
    <definedName name="_xlnm._FilterDatabase" localSheetId="1" hidden="1">Park_Data!$A$1:$U$4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7" i="2" l="1" a="1"/>
  <c r="E17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<sst xmlns="http://schemas.openxmlformats.org/spreadsheetml/2006/main" count="483" uniqueCount="173">
  <si>
    <t>Coaster_Name</t>
  </si>
  <si>
    <t>Coaster_Park</t>
  </si>
  <si>
    <t>Drop_Height</t>
  </si>
  <si>
    <t>Top_Speed</t>
  </si>
  <si>
    <t>Avg_Speed</t>
  </si>
  <si>
    <t>Duration</t>
  </si>
  <si>
    <t>Capacity</t>
  </si>
  <si>
    <t>Type</t>
  </si>
  <si>
    <t>Year_Const</t>
  </si>
  <si>
    <t>Material</t>
  </si>
  <si>
    <t>Inversion_Num</t>
  </si>
  <si>
    <t>Breakdowns</t>
  </si>
  <si>
    <t>Wait_Time</t>
  </si>
  <si>
    <t>Height_Req</t>
  </si>
  <si>
    <t>Orientation</t>
  </si>
  <si>
    <t>Drive_Mech</t>
  </si>
  <si>
    <t>Geist Schmelzen</t>
  </si>
  <si>
    <t>Beschleunigungszone</t>
  </si>
  <si>
    <t>Overdrive</t>
  </si>
  <si>
    <t>Horsepower Bay</t>
  </si>
  <si>
    <t>Fifth Gear</t>
  </si>
  <si>
    <t>Barco No Rio Amazonas</t>
  </si>
  <si>
    <t>Cidade Da Velocidade</t>
  </si>
  <si>
    <t>The Mind Melter</t>
  </si>
  <si>
    <t>Treasure Island</t>
  </si>
  <si>
    <t>The Sidewinder</t>
  </si>
  <si>
    <t>Funville</t>
  </si>
  <si>
    <t>Slalom Fahren</t>
  </si>
  <si>
    <t>The Piston Cup</t>
  </si>
  <si>
    <t>Saltwater Surprise</t>
  </si>
  <si>
    <t>Swamp Valley Thrill Zone</t>
  </si>
  <si>
    <t>Berg Jodler</t>
  </si>
  <si>
    <t>Splittergeschwindigkeit</t>
  </si>
  <si>
    <t>Half Pipe</t>
  </si>
  <si>
    <t>Sharkie Shoals</t>
  </si>
  <si>
    <t>The Last Rodeo</t>
  </si>
  <si>
    <t>The Talon</t>
  </si>
  <si>
    <t>Fallschirmspringen</t>
  </si>
  <si>
    <t>Vertical Vertigo</t>
  </si>
  <si>
    <t>O Ciclone</t>
  </si>
  <si>
    <t>O Urubu</t>
  </si>
  <si>
    <t>Yeehaw Rodeo</t>
  </si>
  <si>
    <t>Riverboat Rundown</t>
  </si>
  <si>
    <t>Tidal Wave</t>
  </si>
  <si>
    <t>Gold Rush</t>
  </si>
  <si>
    <t>El Tigre</t>
  </si>
  <si>
    <t>Templo Proibido</t>
  </si>
  <si>
    <t>K2</t>
  </si>
  <si>
    <t>Sting Ray Bay</t>
  </si>
  <si>
    <t>Back to the Past</t>
  </si>
  <si>
    <t>Mangrove Monster</t>
  </si>
  <si>
    <t>Trailblazer</t>
  </si>
  <si>
    <t>Infinite Loop</t>
  </si>
  <si>
    <t>Busca Solar</t>
  </si>
  <si>
    <t>Bucking Bronco</t>
  </si>
  <si>
    <t>Anaconda</t>
  </si>
  <si>
    <t>Corrida Pela Floresta</t>
  </si>
  <si>
    <t>Paradigm Shift</t>
  </si>
  <si>
    <t>Rasante Abfahrt</t>
  </si>
  <si>
    <t>Barracuda Barrage</t>
  </si>
  <si>
    <t>Wurmloch</t>
  </si>
  <si>
    <t>O.K. Corral</t>
  </si>
  <si>
    <t>Saddle Up!</t>
  </si>
  <si>
    <t>Gator Dive</t>
  </si>
  <si>
    <t>Golden Gate Grizzly</t>
  </si>
  <si>
    <t>Black Beard's Revenge</t>
  </si>
  <si>
    <t>Suwannee Tsunami</t>
  </si>
  <si>
    <t>Spanish Galleon</t>
  </si>
  <si>
    <t>Der Bergsteiger</t>
  </si>
  <si>
    <t>The Incinerator</t>
  </si>
  <si>
    <t>Escape From Alcatraz</t>
  </si>
  <si>
    <t>Full Speed Ahead!</t>
  </si>
  <si>
    <t>The Electric Eel</t>
  </si>
  <si>
    <t>Steinadler</t>
  </si>
  <si>
    <t>Park_Country</t>
  </si>
  <si>
    <t>Park_Region</t>
  </si>
  <si>
    <t>Park_City</t>
  </si>
  <si>
    <t>Admission_Price</t>
  </si>
  <si>
    <t>Admission_Num</t>
  </si>
  <si>
    <t>Avg_Temp</t>
  </si>
  <si>
    <t>Avg_Rainfall</t>
  </si>
  <si>
    <t>Rain_Days</t>
  </si>
  <si>
    <t>Age_1_25</t>
  </si>
  <si>
    <t>Age_2_25</t>
  </si>
  <si>
    <t>Age_3_25</t>
  </si>
  <si>
    <t>Age_4_25</t>
  </si>
  <si>
    <t>Age_1_50</t>
  </si>
  <si>
    <t>Age_2_50</t>
  </si>
  <si>
    <t>Age_3_50</t>
  </si>
  <si>
    <t>Age_4_50</t>
  </si>
  <si>
    <t>Male_25</t>
  </si>
  <si>
    <t>Female_25</t>
  </si>
  <si>
    <t>Male_50</t>
  </si>
  <si>
    <t>Female_50</t>
  </si>
  <si>
    <t>United States</t>
  </si>
  <si>
    <t>Texas</t>
  </si>
  <si>
    <t>Arlington</t>
  </si>
  <si>
    <t>Louisiana</t>
  </si>
  <si>
    <t>Baton Rouge</t>
  </si>
  <si>
    <t>Germany</t>
  </si>
  <si>
    <t>Hesse</t>
  </si>
  <si>
    <t>Frankfurt</t>
  </si>
  <si>
    <t>Florida</t>
  </si>
  <si>
    <t>Clearwater</t>
  </si>
  <si>
    <t>Michigan</t>
  </si>
  <si>
    <t>Ann Arbor</t>
  </si>
  <si>
    <t>California</t>
  </si>
  <si>
    <t>Oakland</t>
  </si>
  <si>
    <t>Brazil</t>
  </si>
  <si>
    <t>Rio de Janeiro</t>
  </si>
  <si>
    <t>Dataset: Coaster_Data</t>
  </si>
  <si>
    <t>Attribute Name</t>
  </si>
  <si>
    <t>Attribute Description</t>
  </si>
  <si>
    <t>Attribute Unit</t>
  </si>
  <si>
    <t>Operating Name of the roller coaster</t>
  </si>
  <si>
    <t>Park where the coaster is located</t>
  </si>
  <si>
    <t>Maximum vertical continuous drop distance</t>
  </si>
  <si>
    <t>Feet</t>
  </si>
  <si>
    <t>Maximum attained speed of the roller coaster</t>
  </si>
  <si>
    <t>Miles/Hour</t>
  </si>
  <si>
    <t>Average speed over the duration of the average ride</t>
  </si>
  <si>
    <t>Average duration of each ride</t>
  </si>
  <si>
    <t>Seconds</t>
  </si>
  <si>
    <t>Maximum number of riders per ride</t>
  </si>
  <si>
    <t>Indicator determining if the roller coaster is indoors, outdoors, or both</t>
  </si>
  <si>
    <t>Year in which the coaster was constructed</t>
  </si>
  <si>
    <t>Indicator determining the primary material used in constructing the coaster (wood, steel, etc.)</t>
  </si>
  <si>
    <t>Number of times riders are inverted during the ride from corkscrews, loops, or other mechanics</t>
  </si>
  <si>
    <t>Average Number of breakdowns per year in which the coaster was put out of commission for any duration of time</t>
  </si>
  <si>
    <t>Average amount of time rider spend waiting in line for the ride</t>
  </si>
  <si>
    <t>Minutes</t>
  </si>
  <si>
    <t>Height Req</t>
  </si>
  <si>
    <t>Height requirement for all riders due to safety regulations</t>
  </si>
  <si>
    <t>Inches</t>
  </si>
  <si>
    <t>Indicator determining the position of riders (sitting, standing, suspended, etc.)</t>
  </si>
  <si>
    <t>Mechanism of propolsion (mechanical, hydraulic, electromagnetic, etc.)</t>
  </si>
  <si>
    <t>Dataset: Park_Data</t>
  </si>
  <si>
    <t>Operating Name of the coaster park</t>
  </si>
  <si>
    <t>Country in which the park is located</t>
  </si>
  <si>
    <t>Region in which the park is located</t>
  </si>
  <si>
    <t>City in which the park is located</t>
  </si>
  <si>
    <t>Adult admission fee to enter the park</t>
  </si>
  <si>
    <t>U.S. Dollars</t>
  </si>
  <si>
    <t>Number of admissions to the park in the last year</t>
  </si>
  <si>
    <t>Average annual temperature measured at the park</t>
  </si>
  <si>
    <t>°F</t>
  </si>
  <si>
    <t>Average annual rainfall measured at the park</t>
  </si>
  <si>
    <t>Average number of days each year that had more than half an inch of rain</t>
  </si>
  <si>
    <t>Number of people aged 0-25 residing within 25 miles of the park according to census data</t>
  </si>
  <si>
    <t>Number of people aged 25-50 residing within 25 miles of the park according to census data</t>
  </si>
  <si>
    <t>Number of people aged 50-75 residing within 25 miles of the park according to census data</t>
  </si>
  <si>
    <t>Number of people aged 75+ residing within 25 miles of the park according to census data</t>
  </si>
  <si>
    <t>Number of people aged 0-25 residing within 50 miles of the park according to census data</t>
  </si>
  <si>
    <t>Number of people aged 25-50 residing within 50 miles of the park according to census data</t>
  </si>
  <si>
    <t>Number of people aged 50-75 residing within 50 miles of the park according to census data</t>
  </si>
  <si>
    <t>Number of people aged 75+ residing within 50 miles of the park according to census data</t>
  </si>
  <si>
    <t>Number of male residents within 25 miles of the park according to census data</t>
  </si>
  <si>
    <t>Number of female residents within 25 miles of the park according to census data</t>
  </si>
  <si>
    <t>Number of male residents within 50 miles of the park according to census data</t>
  </si>
  <si>
    <t>Number of female residents within 50 miles of the park according to census data</t>
  </si>
  <si>
    <t>Outdoors</t>
  </si>
  <si>
    <t>Steel</t>
  </si>
  <si>
    <t>Sitting</t>
  </si>
  <si>
    <t>Electromagnetic</t>
  </si>
  <si>
    <t>Indoors</t>
  </si>
  <si>
    <t>NA</t>
  </si>
  <si>
    <t>Standing</t>
  </si>
  <si>
    <t>Hydraulic</t>
  </si>
  <si>
    <t>Mechanical</t>
  </si>
  <si>
    <t>Wood</t>
  </si>
  <si>
    <t>Hybrid</t>
  </si>
  <si>
    <t>Suspended</t>
  </si>
  <si>
    <t>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</si>
</sst>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1" fillId="2" borderId="0" xfId="0" applyFont="1" applyFill="1"/>
    <xf numFmtId="44" fontId="0" fillId="0" borderId="0" xfId="1" applyFont="1"/>
  </cellXfs>
  <cellStyles count="2">
    <cellStyle name="Currency" xfId="1" builtinId="4"/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7A9FDD-5E81-45D1-A3CD-3A0B24149E91}" name="Table1" displayName="Table1" ref="A2:C18" totalsRowShown="0" headerRowDxfId="1">
  <autoFilter ref="A2:C18" xr:uid="{00000000-0009-0000-0100-000001000000}"/>
  <tableColumns count="3">
    <tableColumn id="1" xr3:uid="{56E8A50E-A57D-4650-A9C3-0389ADDA4A88}" name="Attribute Name"/>
    <tableColumn id="2" xr3:uid="{C4F4829F-7BEB-4F82-BAF8-838EC6272B62}" name="Attribute Description"/>
    <tableColumn id="3" xr3:uid="{28E792D1-A25F-4DAF-B2E9-6FEFF8272A98}" name="Attribute Unit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F464-EAC4-4E61-885C-222783F73E22}" name="Table2" displayName="Table2" ref="A21:C42" totalsRowShown="0" headerRowDxfId="0">
  <autoFilter ref="A21:C42" xr:uid="{00000000-0009-0000-0100-000002000000}"/>
  <tableColumns count="3">
    <tableColumn id="1" xr3:uid="{DEF2B9E9-6757-4F2B-AE90-59EC08E86AFF}" name="Attribute Name"/>
    <tableColumn id="2" xr3:uid="{AA4C4ADB-9CF5-4387-AF96-7A89681A9078}" name="Attribute Description"/>
    <tableColumn id="3" xr3:uid="{98A8C84A-396F-46C9-82FE-43395A337D51}" name="Attribute Unit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B1792-0062-463B-A14C-173704649ABA}">
  <sheetPr filterMode="1">
    <tabColor rgb="FF0070C0"/>
  </sheetPr>
  <dimension ref="A1:Q52"/>
  <sheetViews>
    <sheetView workbookViewId="0">
      <pane ySplit="1" topLeftCell="A3" activePane="bottomLeft" state="frozen"/>
      <selection activeCell="F1" sqref="F1"/>
      <selection pane="bottomLeft" activeCell="H58" sqref="H58"/>
    </sheetView>
  </sheetViews>
  <sheetFormatPr baseColWidth="10" defaultColWidth="8.83203125" defaultRowHeight="15" x14ac:dyDescent="0.2"/>
  <cols>
    <col min="1" max="1" width="22.5" bestFit="1" customWidth="1"/>
    <col min="2" max="2" width="23.6640625" bestFit="1" customWidth="1"/>
    <col min="3" max="3" width="14.5" bestFit="1" customWidth="1"/>
    <col min="4" max="5" width="13.1640625" bestFit="1" customWidth="1"/>
    <col min="6" max="6" width="11" bestFit="1" customWidth="1"/>
    <col min="7" max="7" width="10.6640625" bestFit="1" customWidth="1"/>
    <col min="8" max="8" width="9.33203125" bestFit="1" customWidth="1"/>
    <col min="9" max="9" width="13.33203125" bestFit="1" customWidth="1"/>
    <col min="10" max="10" width="10.83203125" bestFit="1" customWidth="1"/>
    <col min="11" max="11" width="17" bestFit="1" customWidth="1"/>
    <col min="12" max="12" width="14.1640625" bestFit="1" customWidth="1"/>
    <col min="13" max="13" width="13.5" bestFit="1" customWidth="1"/>
    <col min="14" max="14" width="19.33203125" bestFit="1" customWidth="1"/>
    <col min="15" max="15" width="13.5" bestFit="1" customWidth="1"/>
    <col min="16" max="16" width="15.5" bestFit="1" customWidth="1"/>
  </cols>
  <sheetData>
    <row r="1" spans="1:17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1"/>
    </row>
    <row r="2" spans="1:17" hidden="1" x14ac:dyDescent="0.2">
      <c r="A2" t="s">
        <v>16</v>
      </c>
      <c r="B2" t="s">
        <v>17</v>
      </c>
      <c r="C2">
        <v>199</v>
      </c>
      <c r="D2">
        <v>144.36199999999999</v>
      </c>
      <c r="E2">
        <v>91.536000000000001</v>
      </c>
      <c r="F2">
        <v>171.58</v>
      </c>
      <c r="G2">
        <v>40</v>
      </c>
      <c r="H2" t="s">
        <v>160</v>
      </c>
      <c r="I2">
        <v>2010</v>
      </c>
      <c r="J2" t="s">
        <v>161</v>
      </c>
      <c r="K2">
        <v>17</v>
      </c>
      <c r="L2">
        <v>8</v>
      </c>
      <c r="M2">
        <v>58.375999999999998</v>
      </c>
      <c r="N2" s="2">
        <v>42</v>
      </c>
      <c r="O2" t="s">
        <v>162</v>
      </c>
      <c r="P2" t="s">
        <v>163</v>
      </c>
    </row>
    <row r="3" spans="1:17" x14ac:dyDescent="0.2">
      <c r="A3" t="s">
        <v>18</v>
      </c>
      <c r="B3" t="s">
        <v>19</v>
      </c>
      <c r="C3">
        <v>126</v>
      </c>
      <c r="D3">
        <v>75.492000000000004</v>
      </c>
      <c r="E3">
        <v>54.375999999999998</v>
      </c>
      <c r="F3">
        <v>99.73</v>
      </c>
      <c r="G3">
        <v>36</v>
      </c>
      <c r="H3" t="s">
        <v>164</v>
      </c>
      <c r="I3">
        <v>2004</v>
      </c>
      <c r="J3" t="s">
        <v>161</v>
      </c>
      <c r="K3">
        <v>8</v>
      </c>
      <c r="L3">
        <v>23</v>
      </c>
      <c r="M3">
        <v>22.414999999999999</v>
      </c>
      <c r="N3" s="2" t="s">
        <v>165</v>
      </c>
      <c r="O3" t="s">
        <v>166</v>
      </c>
      <c r="P3" t="s">
        <v>167</v>
      </c>
    </row>
    <row r="4" spans="1:17" x14ac:dyDescent="0.2">
      <c r="A4" t="s">
        <v>20</v>
      </c>
      <c r="B4" t="s">
        <v>19</v>
      </c>
      <c r="C4">
        <v>124</v>
      </c>
      <c r="D4">
        <v>64.445999999999998</v>
      </c>
      <c r="E4">
        <v>42.866999999999997</v>
      </c>
      <c r="F4">
        <v>141.24</v>
      </c>
      <c r="G4">
        <v>20</v>
      </c>
      <c r="H4" t="s">
        <v>160</v>
      </c>
      <c r="I4">
        <v>2002</v>
      </c>
      <c r="J4" t="s">
        <v>161</v>
      </c>
      <c r="K4">
        <v>11</v>
      </c>
      <c r="L4">
        <v>24</v>
      </c>
      <c r="M4">
        <v>29.393000000000001</v>
      </c>
      <c r="N4" s="2">
        <v>42</v>
      </c>
      <c r="O4" t="s">
        <v>162</v>
      </c>
      <c r="P4" t="s">
        <v>167</v>
      </c>
    </row>
    <row r="5" spans="1:17" hidden="1" x14ac:dyDescent="0.2">
      <c r="A5" t="s">
        <v>21</v>
      </c>
      <c r="B5" t="s">
        <v>22</v>
      </c>
      <c r="C5">
        <v>197</v>
      </c>
      <c r="D5">
        <v>129.226</v>
      </c>
      <c r="E5">
        <v>80.908000000000001</v>
      </c>
      <c r="F5">
        <v>152.51</v>
      </c>
      <c r="G5">
        <v>24</v>
      </c>
      <c r="H5" t="s">
        <v>160</v>
      </c>
      <c r="I5">
        <v>2010</v>
      </c>
      <c r="J5" t="s">
        <v>161</v>
      </c>
      <c r="K5">
        <v>10</v>
      </c>
      <c r="L5">
        <v>11</v>
      </c>
      <c r="M5">
        <v>78.88</v>
      </c>
      <c r="N5" s="2" t="s">
        <v>165</v>
      </c>
      <c r="O5" t="s">
        <v>166</v>
      </c>
      <c r="P5" t="s">
        <v>163</v>
      </c>
    </row>
    <row r="6" spans="1:17" hidden="1" x14ac:dyDescent="0.2">
      <c r="A6" t="s">
        <v>23</v>
      </c>
      <c r="B6" t="s">
        <v>24</v>
      </c>
      <c r="C6">
        <v>349</v>
      </c>
      <c r="D6">
        <v>61.581000000000003</v>
      </c>
      <c r="E6">
        <v>66.965999999999994</v>
      </c>
      <c r="F6">
        <v>142.51</v>
      </c>
      <c r="G6">
        <v>28</v>
      </c>
      <c r="H6" t="s">
        <v>160</v>
      </c>
      <c r="I6">
        <v>1996</v>
      </c>
      <c r="J6" t="s">
        <v>161</v>
      </c>
      <c r="K6">
        <v>11</v>
      </c>
      <c r="L6">
        <v>47</v>
      </c>
      <c r="M6">
        <v>43.917000000000002</v>
      </c>
      <c r="N6" s="2">
        <v>36</v>
      </c>
      <c r="O6" t="s">
        <v>162</v>
      </c>
      <c r="P6" t="s">
        <v>168</v>
      </c>
    </row>
    <row r="7" spans="1:17" hidden="1" x14ac:dyDescent="0.2">
      <c r="A7" t="s">
        <v>25</v>
      </c>
      <c r="B7" t="s">
        <v>26</v>
      </c>
      <c r="C7">
        <v>206</v>
      </c>
      <c r="D7">
        <v>89.837000000000003</v>
      </c>
      <c r="E7">
        <v>65.582999999999998</v>
      </c>
      <c r="F7">
        <v>97.25</v>
      </c>
      <c r="G7">
        <v>36</v>
      </c>
      <c r="H7" t="s">
        <v>160</v>
      </c>
      <c r="I7">
        <v>2006</v>
      </c>
      <c r="J7" t="s">
        <v>169</v>
      </c>
      <c r="K7">
        <v>2</v>
      </c>
      <c r="L7">
        <v>44</v>
      </c>
      <c r="M7">
        <v>24.385999999999999</v>
      </c>
      <c r="N7" s="2" t="s">
        <v>165</v>
      </c>
      <c r="O7" t="s">
        <v>162</v>
      </c>
      <c r="P7" t="s">
        <v>168</v>
      </c>
    </row>
    <row r="8" spans="1:17" hidden="1" x14ac:dyDescent="0.2">
      <c r="A8" t="s">
        <v>27</v>
      </c>
      <c r="B8" t="s">
        <v>17</v>
      </c>
      <c r="C8">
        <v>175</v>
      </c>
      <c r="D8">
        <v>93.807000000000002</v>
      </c>
      <c r="E8">
        <v>63.231000000000002</v>
      </c>
      <c r="F8">
        <v>120.86</v>
      </c>
      <c r="G8">
        <v>20</v>
      </c>
      <c r="H8" t="s">
        <v>160</v>
      </c>
      <c r="I8">
        <v>2008</v>
      </c>
      <c r="J8" t="s">
        <v>161</v>
      </c>
      <c r="K8">
        <v>3</v>
      </c>
      <c r="L8">
        <v>10</v>
      </c>
      <c r="M8">
        <v>43.21</v>
      </c>
      <c r="N8" s="2" t="s">
        <v>165</v>
      </c>
      <c r="O8" t="s">
        <v>166</v>
      </c>
      <c r="P8" t="s">
        <v>163</v>
      </c>
    </row>
    <row r="9" spans="1:17" x14ac:dyDescent="0.2">
      <c r="A9" t="s">
        <v>28</v>
      </c>
      <c r="B9" t="s">
        <v>19</v>
      </c>
      <c r="C9">
        <v>132</v>
      </c>
      <c r="D9">
        <v>139.029</v>
      </c>
      <c r="E9">
        <v>90.649000000000001</v>
      </c>
      <c r="F9">
        <v>169.33</v>
      </c>
      <c r="G9">
        <v>36</v>
      </c>
      <c r="H9" t="s">
        <v>164</v>
      </c>
      <c r="I9">
        <v>2014</v>
      </c>
      <c r="J9" t="s">
        <v>161</v>
      </c>
      <c r="K9">
        <v>20</v>
      </c>
      <c r="L9">
        <v>8</v>
      </c>
      <c r="M9">
        <v>66.881</v>
      </c>
      <c r="N9" s="2">
        <v>42</v>
      </c>
      <c r="O9" t="s">
        <v>162</v>
      </c>
      <c r="P9" t="s">
        <v>163</v>
      </c>
    </row>
    <row r="10" spans="1:17" hidden="1" x14ac:dyDescent="0.2">
      <c r="A10" t="s">
        <v>29</v>
      </c>
      <c r="B10" t="s">
        <v>30</v>
      </c>
      <c r="C10">
        <v>148</v>
      </c>
      <c r="D10">
        <v>95.843000000000004</v>
      </c>
      <c r="E10">
        <v>75.459999999999994</v>
      </c>
      <c r="F10">
        <v>161.61000000000001</v>
      </c>
      <c r="G10">
        <v>20</v>
      </c>
      <c r="H10" t="s">
        <v>160</v>
      </c>
      <c r="I10">
        <v>2002</v>
      </c>
      <c r="J10" t="s">
        <v>161</v>
      </c>
      <c r="K10">
        <v>13</v>
      </c>
      <c r="L10">
        <v>52</v>
      </c>
      <c r="M10">
        <v>59.789000000000001</v>
      </c>
      <c r="N10" s="2" t="s">
        <v>165</v>
      </c>
      <c r="O10" t="s">
        <v>166</v>
      </c>
      <c r="P10" t="s">
        <v>168</v>
      </c>
    </row>
    <row r="11" spans="1:17" hidden="1" x14ac:dyDescent="0.2">
      <c r="A11" t="s">
        <v>31</v>
      </c>
      <c r="B11" t="s">
        <v>17</v>
      </c>
      <c r="C11">
        <v>172</v>
      </c>
      <c r="D11">
        <v>136.49100000000001</v>
      </c>
      <c r="E11">
        <v>96.424000000000007</v>
      </c>
      <c r="F11">
        <v>134.74</v>
      </c>
      <c r="G11">
        <v>36</v>
      </c>
      <c r="H11" t="s">
        <v>160</v>
      </c>
      <c r="I11">
        <v>2005</v>
      </c>
      <c r="J11" t="s">
        <v>161</v>
      </c>
      <c r="K11">
        <v>10</v>
      </c>
      <c r="L11">
        <v>17</v>
      </c>
      <c r="M11">
        <v>56.84</v>
      </c>
      <c r="N11" s="2">
        <v>48</v>
      </c>
      <c r="O11" t="s">
        <v>166</v>
      </c>
      <c r="P11" t="s">
        <v>167</v>
      </c>
    </row>
    <row r="12" spans="1:17" hidden="1" x14ac:dyDescent="0.2">
      <c r="A12" t="s">
        <v>32</v>
      </c>
      <c r="B12" t="s">
        <v>17</v>
      </c>
      <c r="C12">
        <v>192</v>
      </c>
      <c r="D12">
        <v>90.593000000000004</v>
      </c>
      <c r="E12">
        <v>50.070999999999998</v>
      </c>
      <c r="F12">
        <v>109.98</v>
      </c>
      <c r="G12">
        <v>20</v>
      </c>
      <c r="H12" t="s">
        <v>160</v>
      </c>
      <c r="I12">
        <v>2009</v>
      </c>
      <c r="J12" t="s">
        <v>161</v>
      </c>
      <c r="K12">
        <v>12</v>
      </c>
      <c r="L12">
        <v>10</v>
      </c>
      <c r="M12">
        <v>37.328000000000003</v>
      </c>
      <c r="N12" s="2">
        <v>36</v>
      </c>
      <c r="O12" t="s">
        <v>162</v>
      </c>
      <c r="P12" t="s">
        <v>163</v>
      </c>
    </row>
    <row r="13" spans="1:17" hidden="1" x14ac:dyDescent="0.2">
      <c r="A13" t="s">
        <v>33</v>
      </c>
      <c r="B13" t="s">
        <v>34</v>
      </c>
      <c r="C13">
        <v>151</v>
      </c>
      <c r="D13">
        <v>120.20399999999999</v>
      </c>
      <c r="E13">
        <v>70.201999999999998</v>
      </c>
      <c r="F13">
        <v>149.28</v>
      </c>
      <c r="G13">
        <v>24</v>
      </c>
      <c r="H13" t="s">
        <v>160</v>
      </c>
      <c r="I13">
        <v>2006</v>
      </c>
      <c r="J13" t="s">
        <v>170</v>
      </c>
      <c r="K13">
        <v>4</v>
      </c>
      <c r="L13">
        <v>7</v>
      </c>
      <c r="M13">
        <v>68.113</v>
      </c>
      <c r="N13" s="2">
        <v>48</v>
      </c>
      <c r="O13" t="s">
        <v>171</v>
      </c>
      <c r="P13" t="s">
        <v>163</v>
      </c>
    </row>
    <row r="14" spans="1:17" hidden="1" x14ac:dyDescent="0.2">
      <c r="A14" t="s">
        <v>35</v>
      </c>
      <c r="B14" t="s">
        <v>26</v>
      </c>
      <c r="C14">
        <v>128</v>
      </c>
      <c r="D14">
        <v>61.896000000000001</v>
      </c>
      <c r="E14">
        <v>38.966000000000001</v>
      </c>
      <c r="F14">
        <v>101.24</v>
      </c>
      <c r="G14">
        <v>36</v>
      </c>
      <c r="H14" t="s">
        <v>160</v>
      </c>
      <c r="I14">
        <v>1998</v>
      </c>
      <c r="J14" t="s">
        <v>169</v>
      </c>
      <c r="K14">
        <v>1</v>
      </c>
      <c r="L14">
        <v>48</v>
      </c>
      <c r="M14">
        <v>16.146000000000001</v>
      </c>
      <c r="N14" s="2" t="s">
        <v>165</v>
      </c>
      <c r="O14" t="s">
        <v>162</v>
      </c>
      <c r="P14" t="s">
        <v>168</v>
      </c>
    </row>
    <row r="15" spans="1:17" hidden="1" x14ac:dyDescent="0.2">
      <c r="A15" t="s">
        <v>36</v>
      </c>
      <c r="B15" t="s">
        <v>30</v>
      </c>
      <c r="C15">
        <v>126</v>
      </c>
      <c r="D15">
        <v>119.471</v>
      </c>
      <c r="E15">
        <v>69.855000000000004</v>
      </c>
      <c r="F15">
        <v>156.21</v>
      </c>
      <c r="G15">
        <v>24</v>
      </c>
      <c r="H15" t="s">
        <v>160</v>
      </c>
      <c r="I15">
        <v>2001</v>
      </c>
      <c r="J15" t="s">
        <v>161</v>
      </c>
      <c r="K15">
        <v>9</v>
      </c>
      <c r="L15">
        <v>13</v>
      </c>
      <c r="M15">
        <v>68.349999999999994</v>
      </c>
      <c r="N15" s="2">
        <v>36</v>
      </c>
      <c r="O15" t="s">
        <v>171</v>
      </c>
      <c r="P15" t="s">
        <v>163</v>
      </c>
    </row>
    <row r="16" spans="1:17" hidden="1" x14ac:dyDescent="0.2">
      <c r="A16" t="s">
        <v>37</v>
      </c>
      <c r="B16" t="s">
        <v>17</v>
      </c>
      <c r="C16">
        <v>175</v>
      </c>
      <c r="D16">
        <v>102.056</v>
      </c>
      <c r="E16">
        <v>75.725999999999999</v>
      </c>
      <c r="F16">
        <v>86.75</v>
      </c>
      <c r="G16">
        <v>24</v>
      </c>
      <c r="H16" t="s">
        <v>160</v>
      </c>
      <c r="I16">
        <v>1996</v>
      </c>
      <c r="J16" t="s">
        <v>161</v>
      </c>
      <c r="K16">
        <v>7</v>
      </c>
      <c r="L16">
        <v>43</v>
      </c>
      <c r="M16">
        <v>31.786999999999999</v>
      </c>
      <c r="N16" s="2">
        <v>42</v>
      </c>
      <c r="O16" t="s">
        <v>166</v>
      </c>
      <c r="P16" t="s">
        <v>168</v>
      </c>
    </row>
    <row r="17" spans="1:16" hidden="1" x14ac:dyDescent="0.2">
      <c r="A17" t="s">
        <v>38</v>
      </c>
      <c r="B17" t="s">
        <v>24</v>
      </c>
      <c r="C17">
        <v>143</v>
      </c>
      <c r="D17">
        <v>85.185000000000002</v>
      </c>
      <c r="E17">
        <v>48.195</v>
      </c>
      <c r="F17">
        <v>97.19</v>
      </c>
      <c r="G17">
        <v>36</v>
      </c>
      <c r="H17" t="s">
        <v>160</v>
      </c>
      <c r="I17">
        <v>1996</v>
      </c>
      <c r="J17" t="s">
        <v>169</v>
      </c>
      <c r="K17">
        <v>2</v>
      </c>
      <c r="L17">
        <v>49</v>
      </c>
      <c r="M17">
        <v>21.771999999999998</v>
      </c>
      <c r="N17" s="2">
        <v>36</v>
      </c>
      <c r="O17" t="s">
        <v>162</v>
      </c>
      <c r="P17" t="s">
        <v>168</v>
      </c>
    </row>
    <row r="18" spans="1:16" hidden="1" x14ac:dyDescent="0.2">
      <c r="A18" t="s">
        <v>39</v>
      </c>
      <c r="B18" t="s">
        <v>22</v>
      </c>
      <c r="C18">
        <v>185</v>
      </c>
      <c r="D18">
        <v>113.46</v>
      </c>
      <c r="E18">
        <v>75.292000000000002</v>
      </c>
      <c r="F18">
        <v>130.30000000000001</v>
      </c>
      <c r="G18">
        <v>40</v>
      </c>
      <c r="H18" t="s">
        <v>160</v>
      </c>
      <c r="I18">
        <v>2008</v>
      </c>
      <c r="J18" t="s">
        <v>161</v>
      </c>
      <c r="K18">
        <v>12</v>
      </c>
      <c r="L18">
        <v>50</v>
      </c>
      <c r="M18">
        <v>36.542000000000002</v>
      </c>
      <c r="N18" s="2" t="s">
        <v>165</v>
      </c>
      <c r="O18" t="s">
        <v>162</v>
      </c>
      <c r="P18" t="s">
        <v>168</v>
      </c>
    </row>
    <row r="19" spans="1:16" hidden="1" x14ac:dyDescent="0.2">
      <c r="A19" t="s">
        <v>40</v>
      </c>
      <c r="B19" t="s">
        <v>22</v>
      </c>
      <c r="C19">
        <v>152</v>
      </c>
      <c r="D19">
        <v>103.301</v>
      </c>
      <c r="E19">
        <v>73.222999999999999</v>
      </c>
      <c r="F19">
        <v>112.96</v>
      </c>
      <c r="G19">
        <v>20</v>
      </c>
      <c r="H19" t="s">
        <v>160</v>
      </c>
      <c r="I19">
        <v>2010</v>
      </c>
      <c r="J19" t="s">
        <v>161</v>
      </c>
      <c r="K19">
        <v>11</v>
      </c>
      <c r="L19">
        <v>13</v>
      </c>
      <c r="M19">
        <v>50.667999999999999</v>
      </c>
      <c r="N19" s="2">
        <v>42</v>
      </c>
      <c r="O19" t="s">
        <v>166</v>
      </c>
      <c r="P19" t="s">
        <v>167</v>
      </c>
    </row>
    <row r="20" spans="1:16" hidden="1" x14ac:dyDescent="0.2">
      <c r="A20" t="s">
        <v>41</v>
      </c>
      <c r="B20" t="s">
        <v>24</v>
      </c>
      <c r="C20">
        <v>174</v>
      </c>
      <c r="D20">
        <v>80.706000000000003</v>
      </c>
      <c r="E20">
        <v>49.798000000000002</v>
      </c>
      <c r="F20">
        <v>105.15</v>
      </c>
      <c r="G20">
        <v>24</v>
      </c>
      <c r="H20" t="s">
        <v>160</v>
      </c>
      <c r="I20">
        <v>2013</v>
      </c>
      <c r="J20" t="s">
        <v>161</v>
      </c>
      <c r="K20">
        <v>11</v>
      </c>
      <c r="L20">
        <v>9</v>
      </c>
      <c r="M20">
        <v>27.907</v>
      </c>
      <c r="N20" s="2" t="s">
        <v>165</v>
      </c>
      <c r="O20" t="s">
        <v>171</v>
      </c>
      <c r="P20" t="s">
        <v>163</v>
      </c>
    </row>
    <row r="21" spans="1:16" hidden="1" x14ac:dyDescent="0.2">
      <c r="A21" t="s">
        <v>42</v>
      </c>
      <c r="B21" t="s">
        <v>30</v>
      </c>
      <c r="C21">
        <v>305</v>
      </c>
      <c r="D21">
        <v>58.131</v>
      </c>
      <c r="E21">
        <v>40.65</v>
      </c>
      <c r="F21">
        <v>111.69</v>
      </c>
      <c r="G21">
        <v>36</v>
      </c>
      <c r="H21" t="s">
        <v>160</v>
      </c>
      <c r="I21">
        <v>2001</v>
      </c>
      <c r="J21" t="s">
        <v>170</v>
      </c>
      <c r="K21">
        <v>3</v>
      </c>
      <c r="L21">
        <v>46</v>
      </c>
      <c r="M21">
        <v>15.882999999999999</v>
      </c>
      <c r="N21" s="2" t="s">
        <v>165</v>
      </c>
      <c r="O21" t="s">
        <v>171</v>
      </c>
      <c r="P21" t="s">
        <v>168</v>
      </c>
    </row>
    <row r="22" spans="1:16" hidden="1" x14ac:dyDescent="0.2">
      <c r="A22" t="s">
        <v>43</v>
      </c>
      <c r="B22" t="s">
        <v>34</v>
      </c>
      <c r="C22">
        <v>208</v>
      </c>
      <c r="D22">
        <v>79.093000000000004</v>
      </c>
      <c r="E22">
        <v>54.037999999999997</v>
      </c>
      <c r="F22">
        <v>105.39</v>
      </c>
      <c r="G22">
        <v>36</v>
      </c>
      <c r="H22" t="s">
        <v>160</v>
      </c>
      <c r="I22">
        <v>2005</v>
      </c>
      <c r="J22" t="s">
        <v>169</v>
      </c>
      <c r="K22">
        <v>1</v>
      </c>
      <c r="L22">
        <v>45</v>
      </c>
      <c r="M22">
        <v>19.658999999999999</v>
      </c>
      <c r="N22" s="2" t="s">
        <v>165</v>
      </c>
      <c r="O22" t="s">
        <v>162</v>
      </c>
      <c r="P22" t="s">
        <v>168</v>
      </c>
    </row>
    <row r="23" spans="1:16" hidden="1" x14ac:dyDescent="0.2">
      <c r="A23" t="s">
        <v>44</v>
      </c>
      <c r="B23" t="s">
        <v>24</v>
      </c>
      <c r="C23">
        <v>175</v>
      </c>
      <c r="D23">
        <v>122.76900000000001</v>
      </c>
      <c r="E23">
        <v>74.072000000000003</v>
      </c>
      <c r="F23">
        <v>107.47</v>
      </c>
      <c r="G23">
        <v>20</v>
      </c>
      <c r="H23" t="s">
        <v>160</v>
      </c>
      <c r="I23">
        <v>2013</v>
      </c>
      <c r="J23" t="s">
        <v>161</v>
      </c>
      <c r="K23">
        <v>11</v>
      </c>
      <c r="L23">
        <v>7</v>
      </c>
      <c r="M23">
        <v>59.667000000000002</v>
      </c>
      <c r="N23" s="2" t="s">
        <v>165</v>
      </c>
      <c r="O23" t="s">
        <v>171</v>
      </c>
      <c r="P23" t="s">
        <v>163</v>
      </c>
    </row>
    <row r="24" spans="1:16" hidden="1" x14ac:dyDescent="0.2">
      <c r="A24" t="s">
        <v>45</v>
      </c>
      <c r="B24" t="s">
        <v>26</v>
      </c>
      <c r="C24">
        <v>180</v>
      </c>
      <c r="D24">
        <v>107.68300000000001</v>
      </c>
      <c r="E24">
        <v>78.459000000000003</v>
      </c>
      <c r="F24">
        <v>85.3</v>
      </c>
      <c r="G24">
        <v>36</v>
      </c>
      <c r="H24" t="s">
        <v>160</v>
      </c>
      <c r="I24">
        <v>2005</v>
      </c>
      <c r="J24" t="s">
        <v>161</v>
      </c>
      <c r="K24">
        <v>8</v>
      </c>
      <c r="L24">
        <v>15</v>
      </c>
      <c r="M24">
        <v>28.872</v>
      </c>
      <c r="N24" s="2">
        <v>60</v>
      </c>
      <c r="O24" t="s">
        <v>162</v>
      </c>
      <c r="P24" t="s">
        <v>167</v>
      </c>
    </row>
    <row r="25" spans="1:16" hidden="1" x14ac:dyDescent="0.2">
      <c r="A25" t="s">
        <v>46</v>
      </c>
      <c r="B25" t="s">
        <v>22</v>
      </c>
      <c r="C25">
        <v>353</v>
      </c>
      <c r="D25">
        <v>110.352</v>
      </c>
      <c r="E25">
        <v>71.13</v>
      </c>
      <c r="F25">
        <v>102.12</v>
      </c>
      <c r="G25">
        <v>24</v>
      </c>
      <c r="H25" t="s">
        <v>160</v>
      </c>
      <c r="I25">
        <v>2009</v>
      </c>
      <c r="J25" t="s">
        <v>161</v>
      </c>
      <c r="K25">
        <v>7</v>
      </c>
      <c r="L25">
        <v>8</v>
      </c>
      <c r="M25">
        <v>44.543999999999997</v>
      </c>
      <c r="N25" s="2">
        <v>36</v>
      </c>
      <c r="O25" t="s">
        <v>166</v>
      </c>
      <c r="P25" t="s">
        <v>163</v>
      </c>
    </row>
    <row r="26" spans="1:16" hidden="1" x14ac:dyDescent="0.2">
      <c r="A26" t="s">
        <v>47</v>
      </c>
      <c r="B26" t="s">
        <v>24</v>
      </c>
      <c r="C26">
        <v>154</v>
      </c>
      <c r="D26">
        <v>81.421000000000006</v>
      </c>
      <c r="E26">
        <v>60.709000000000003</v>
      </c>
      <c r="F26">
        <v>101.47</v>
      </c>
      <c r="G26">
        <v>24</v>
      </c>
      <c r="H26" t="s">
        <v>160</v>
      </c>
      <c r="I26">
        <v>1996</v>
      </c>
      <c r="J26" t="s">
        <v>169</v>
      </c>
      <c r="K26">
        <v>3</v>
      </c>
      <c r="L26">
        <v>46</v>
      </c>
      <c r="M26">
        <v>29.402000000000001</v>
      </c>
      <c r="N26" s="2" t="s">
        <v>165</v>
      </c>
      <c r="O26" t="s">
        <v>162</v>
      </c>
      <c r="P26" t="s">
        <v>168</v>
      </c>
    </row>
    <row r="27" spans="1:16" hidden="1" x14ac:dyDescent="0.2">
      <c r="A27" t="s">
        <v>48</v>
      </c>
      <c r="B27" t="s">
        <v>34</v>
      </c>
      <c r="C27">
        <v>332</v>
      </c>
      <c r="D27">
        <v>83.364000000000004</v>
      </c>
      <c r="E27">
        <v>49.639000000000003</v>
      </c>
      <c r="F27">
        <v>53.55</v>
      </c>
      <c r="G27">
        <v>20</v>
      </c>
      <c r="H27" t="s">
        <v>160</v>
      </c>
      <c r="I27">
        <v>1994</v>
      </c>
      <c r="J27" t="s">
        <v>169</v>
      </c>
      <c r="K27">
        <v>0</v>
      </c>
      <c r="L27">
        <v>50</v>
      </c>
      <c r="M27">
        <v>23.282</v>
      </c>
      <c r="N27" s="2" t="s">
        <v>165</v>
      </c>
      <c r="O27" t="s">
        <v>162</v>
      </c>
      <c r="P27" t="s">
        <v>168</v>
      </c>
    </row>
    <row r="28" spans="1:16" hidden="1" x14ac:dyDescent="0.2">
      <c r="A28" t="s">
        <v>49</v>
      </c>
      <c r="B28" t="s">
        <v>26</v>
      </c>
      <c r="C28">
        <v>202</v>
      </c>
      <c r="D28">
        <v>80.781999999999996</v>
      </c>
      <c r="E28">
        <v>59.927999999999997</v>
      </c>
      <c r="F28">
        <v>109.69</v>
      </c>
      <c r="G28">
        <v>36</v>
      </c>
      <c r="H28" t="s">
        <v>160</v>
      </c>
      <c r="I28">
        <v>2010</v>
      </c>
      <c r="J28" t="s">
        <v>161</v>
      </c>
      <c r="K28">
        <v>13</v>
      </c>
      <c r="L28">
        <v>10</v>
      </c>
      <c r="M28">
        <v>21.312999999999999</v>
      </c>
      <c r="N28" s="2" t="s">
        <v>165</v>
      </c>
      <c r="O28" t="s">
        <v>166</v>
      </c>
      <c r="P28" t="s">
        <v>163</v>
      </c>
    </row>
    <row r="29" spans="1:16" hidden="1" x14ac:dyDescent="0.2">
      <c r="A29" t="s">
        <v>50</v>
      </c>
      <c r="B29" t="s">
        <v>30</v>
      </c>
      <c r="C29">
        <v>180</v>
      </c>
      <c r="D29">
        <v>153.54900000000001</v>
      </c>
      <c r="E29">
        <v>98.23</v>
      </c>
      <c r="F29">
        <v>183.47</v>
      </c>
      <c r="G29">
        <v>36</v>
      </c>
      <c r="H29" t="s">
        <v>160</v>
      </c>
      <c r="I29">
        <v>2001</v>
      </c>
      <c r="J29" t="s">
        <v>161</v>
      </c>
      <c r="K29">
        <v>17</v>
      </c>
      <c r="L29">
        <v>50</v>
      </c>
      <c r="M29">
        <v>87.613</v>
      </c>
      <c r="N29" s="2">
        <v>42</v>
      </c>
      <c r="O29" t="s">
        <v>171</v>
      </c>
      <c r="P29" t="s">
        <v>168</v>
      </c>
    </row>
    <row r="30" spans="1:16" hidden="1" x14ac:dyDescent="0.2">
      <c r="A30" t="s">
        <v>51</v>
      </c>
      <c r="B30" t="s">
        <v>24</v>
      </c>
      <c r="C30">
        <v>139</v>
      </c>
      <c r="D30">
        <v>157.04900000000001</v>
      </c>
      <c r="E30">
        <v>91.156999999999996</v>
      </c>
      <c r="F30">
        <v>170.47</v>
      </c>
      <c r="G30">
        <v>20</v>
      </c>
      <c r="H30" t="s">
        <v>160</v>
      </c>
      <c r="I30">
        <v>2013</v>
      </c>
      <c r="J30" t="s">
        <v>161</v>
      </c>
      <c r="K30">
        <v>10</v>
      </c>
      <c r="L30">
        <v>11</v>
      </c>
      <c r="M30">
        <v>144.69999999999999</v>
      </c>
      <c r="N30" s="2">
        <v>48</v>
      </c>
      <c r="O30" t="s">
        <v>162</v>
      </c>
      <c r="P30" t="s">
        <v>167</v>
      </c>
    </row>
    <row r="31" spans="1:16" hidden="1" x14ac:dyDescent="0.2">
      <c r="A31" t="s">
        <v>52</v>
      </c>
      <c r="B31" t="s">
        <v>24</v>
      </c>
      <c r="C31">
        <v>158</v>
      </c>
      <c r="D31">
        <v>130.32</v>
      </c>
      <c r="E31">
        <v>89.786000000000001</v>
      </c>
      <c r="F31">
        <v>161.91999999999999</v>
      </c>
      <c r="G31">
        <v>20</v>
      </c>
      <c r="H31" t="s">
        <v>160</v>
      </c>
      <c r="I31">
        <v>2013</v>
      </c>
      <c r="J31" t="s">
        <v>161</v>
      </c>
      <c r="K31">
        <v>19</v>
      </c>
      <c r="L31">
        <v>41</v>
      </c>
      <c r="M31">
        <v>100.089</v>
      </c>
      <c r="N31" s="2">
        <v>48</v>
      </c>
      <c r="O31" t="s">
        <v>162</v>
      </c>
      <c r="P31" t="s">
        <v>168</v>
      </c>
    </row>
    <row r="32" spans="1:16" hidden="1" x14ac:dyDescent="0.2">
      <c r="A32" t="s">
        <v>53</v>
      </c>
      <c r="B32" t="s">
        <v>22</v>
      </c>
      <c r="C32">
        <v>122</v>
      </c>
      <c r="D32">
        <v>53.6</v>
      </c>
      <c r="E32">
        <v>42.505000000000003</v>
      </c>
      <c r="F32">
        <v>171.93</v>
      </c>
      <c r="G32">
        <v>36</v>
      </c>
      <c r="H32" t="s">
        <v>172</v>
      </c>
      <c r="I32">
        <v>2008</v>
      </c>
      <c r="J32" t="s">
        <v>161</v>
      </c>
      <c r="K32">
        <v>11</v>
      </c>
      <c r="L32">
        <v>16</v>
      </c>
      <c r="M32">
        <v>20.529</v>
      </c>
      <c r="N32" s="2">
        <v>36</v>
      </c>
      <c r="O32" t="s">
        <v>162</v>
      </c>
      <c r="P32" t="s">
        <v>167</v>
      </c>
    </row>
    <row r="33" spans="1:16" hidden="1" x14ac:dyDescent="0.2">
      <c r="A33" t="s">
        <v>54</v>
      </c>
      <c r="B33" t="s">
        <v>26</v>
      </c>
      <c r="C33">
        <v>265</v>
      </c>
      <c r="D33">
        <v>121.62</v>
      </c>
      <c r="E33">
        <v>71.88</v>
      </c>
      <c r="F33">
        <v>124.05</v>
      </c>
      <c r="G33">
        <v>36</v>
      </c>
      <c r="H33" t="s">
        <v>160</v>
      </c>
      <c r="I33">
        <v>1999</v>
      </c>
      <c r="J33" t="s">
        <v>161</v>
      </c>
      <c r="K33">
        <v>1</v>
      </c>
      <c r="L33">
        <v>17</v>
      </c>
      <c r="M33">
        <v>41.600999999999999</v>
      </c>
      <c r="N33" s="2">
        <v>42</v>
      </c>
      <c r="O33" t="s">
        <v>162</v>
      </c>
      <c r="P33" t="s">
        <v>163</v>
      </c>
    </row>
    <row r="34" spans="1:16" hidden="1" x14ac:dyDescent="0.2">
      <c r="A34" t="s">
        <v>55</v>
      </c>
      <c r="B34" t="s">
        <v>30</v>
      </c>
      <c r="C34">
        <v>92</v>
      </c>
      <c r="D34">
        <v>53.93</v>
      </c>
      <c r="E34">
        <v>39.046999999999997</v>
      </c>
      <c r="F34">
        <v>94.89</v>
      </c>
      <c r="G34">
        <v>67</v>
      </c>
      <c r="H34" t="s">
        <v>160</v>
      </c>
      <c r="I34">
        <v>2001</v>
      </c>
      <c r="J34" t="s">
        <v>169</v>
      </c>
      <c r="K34">
        <v>1</v>
      </c>
      <c r="L34">
        <v>42</v>
      </c>
      <c r="M34">
        <v>18.643000000000001</v>
      </c>
      <c r="N34" s="2" t="s">
        <v>165</v>
      </c>
      <c r="O34" t="s">
        <v>162</v>
      </c>
      <c r="P34" t="s">
        <v>168</v>
      </c>
    </row>
    <row r="35" spans="1:16" hidden="1" x14ac:dyDescent="0.2">
      <c r="A35" t="s">
        <v>56</v>
      </c>
      <c r="B35" t="s">
        <v>22</v>
      </c>
      <c r="C35">
        <v>107</v>
      </c>
      <c r="D35">
        <v>88.953999999999994</v>
      </c>
      <c r="E35">
        <v>58.575000000000003</v>
      </c>
      <c r="F35">
        <v>112.56</v>
      </c>
      <c r="G35">
        <v>24</v>
      </c>
      <c r="H35" t="s">
        <v>164</v>
      </c>
      <c r="I35">
        <v>2009</v>
      </c>
      <c r="J35" t="s">
        <v>161</v>
      </c>
      <c r="K35">
        <v>10</v>
      </c>
      <c r="L35">
        <v>15</v>
      </c>
      <c r="M35">
        <v>31.521999999999998</v>
      </c>
      <c r="N35" s="2" t="s">
        <v>165</v>
      </c>
      <c r="O35" t="s">
        <v>162</v>
      </c>
      <c r="P35" t="s">
        <v>167</v>
      </c>
    </row>
    <row r="36" spans="1:16" hidden="1" x14ac:dyDescent="0.2">
      <c r="A36" t="s">
        <v>57</v>
      </c>
      <c r="B36" t="s">
        <v>34</v>
      </c>
      <c r="C36">
        <v>224</v>
      </c>
      <c r="D36">
        <v>120.785</v>
      </c>
      <c r="E36">
        <v>91.655000000000001</v>
      </c>
      <c r="F36">
        <v>125.04</v>
      </c>
      <c r="G36">
        <v>24</v>
      </c>
      <c r="H36" t="s">
        <v>160</v>
      </c>
      <c r="I36">
        <v>1994</v>
      </c>
      <c r="J36" t="s">
        <v>161</v>
      </c>
      <c r="K36">
        <v>14</v>
      </c>
      <c r="L36">
        <v>31</v>
      </c>
      <c r="M36">
        <v>60.607999999999997</v>
      </c>
      <c r="N36" s="2">
        <v>60</v>
      </c>
      <c r="O36" t="s">
        <v>162</v>
      </c>
      <c r="P36" t="s">
        <v>167</v>
      </c>
    </row>
    <row r="37" spans="1:16" hidden="1" x14ac:dyDescent="0.2">
      <c r="A37" t="s">
        <v>58</v>
      </c>
      <c r="B37" t="s">
        <v>17</v>
      </c>
      <c r="C37">
        <v>90</v>
      </c>
      <c r="D37">
        <v>81.370999999999995</v>
      </c>
      <c r="E37">
        <v>56.423000000000002</v>
      </c>
      <c r="F37">
        <v>123.64</v>
      </c>
      <c r="G37">
        <v>20</v>
      </c>
      <c r="H37" t="s">
        <v>160</v>
      </c>
      <c r="I37">
        <v>2001</v>
      </c>
      <c r="J37" t="s">
        <v>169</v>
      </c>
      <c r="K37">
        <v>2</v>
      </c>
      <c r="L37">
        <v>47</v>
      </c>
      <c r="M37">
        <v>37.655000000000001</v>
      </c>
      <c r="N37" s="2" t="s">
        <v>165</v>
      </c>
      <c r="O37" t="s">
        <v>162</v>
      </c>
      <c r="P37" t="s">
        <v>168</v>
      </c>
    </row>
    <row r="38" spans="1:16" hidden="1" x14ac:dyDescent="0.2">
      <c r="A38" t="s">
        <v>59</v>
      </c>
      <c r="B38" t="s">
        <v>34</v>
      </c>
      <c r="C38">
        <v>145</v>
      </c>
      <c r="D38">
        <v>119.47499999999999</v>
      </c>
      <c r="E38">
        <v>80.775000000000006</v>
      </c>
      <c r="F38">
        <v>91.51</v>
      </c>
      <c r="G38">
        <v>20</v>
      </c>
      <c r="H38" t="s">
        <v>160</v>
      </c>
      <c r="I38">
        <v>1999</v>
      </c>
      <c r="J38" t="s">
        <v>161</v>
      </c>
      <c r="K38">
        <v>6</v>
      </c>
      <c r="L38">
        <v>49</v>
      </c>
      <c r="M38">
        <v>50.454000000000001</v>
      </c>
      <c r="N38" s="2">
        <v>36</v>
      </c>
      <c r="O38" t="s">
        <v>166</v>
      </c>
      <c r="P38" t="s">
        <v>168</v>
      </c>
    </row>
    <row r="39" spans="1:16" hidden="1" x14ac:dyDescent="0.2">
      <c r="A39" t="s">
        <v>60</v>
      </c>
      <c r="B39" t="s">
        <v>17</v>
      </c>
      <c r="C39">
        <v>180</v>
      </c>
      <c r="D39">
        <v>113.045</v>
      </c>
      <c r="E39">
        <v>72.028999999999996</v>
      </c>
      <c r="F39">
        <v>105.36</v>
      </c>
      <c r="G39">
        <v>24</v>
      </c>
      <c r="H39" t="s">
        <v>160</v>
      </c>
      <c r="I39">
        <v>2008</v>
      </c>
      <c r="J39" t="s">
        <v>161</v>
      </c>
      <c r="K39">
        <v>6</v>
      </c>
      <c r="L39">
        <v>7</v>
      </c>
      <c r="M39">
        <v>47.195999999999998</v>
      </c>
      <c r="N39" s="2" t="s">
        <v>165</v>
      </c>
      <c r="O39" t="s">
        <v>166</v>
      </c>
      <c r="P39" t="s">
        <v>163</v>
      </c>
    </row>
    <row r="40" spans="1:16" hidden="1" x14ac:dyDescent="0.2">
      <c r="A40" t="s">
        <v>61</v>
      </c>
      <c r="B40" t="s">
        <v>26</v>
      </c>
      <c r="C40">
        <v>152</v>
      </c>
      <c r="D40">
        <v>72.727000000000004</v>
      </c>
      <c r="E40">
        <v>45.421999999999997</v>
      </c>
      <c r="F40">
        <v>95.46</v>
      </c>
      <c r="G40">
        <v>20</v>
      </c>
      <c r="H40" t="s">
        <v>160</v>
      </c>
      <c r="I40">
        <v>1997</v>
      </c>
      <c r="J40" t="s">
        <v>169</v>
      </c>
      <c r="K40">
        <v>2</v>
      </c>
      <c r="L40">
        <v>49</v>
      </c>
      <c r="M40">
        <v>25.186</v>
      </c>
      <c r="N40" s="2" t="s">
        <v>165</v>
      </c>
      <c r="O40" t="s">
        <v>162</v>
      </c>
      <c r="P40" t="s">
        <v>168</v>
      </c>
    </row>
    <row r="41" spans="1:16" hidden="1" x14ac:dyDescent="0.2">
      <c r="A41" t="s">
        <v>62</v>
      </c>
      <c r="B41" t="s">
        <v>26</v>
      </c>
      <c r="C41">
        <v>139</v>
      </c>
      <c r="D41">
        <v>112.22199999999999</v>
      </c>
      <c r="E41">
        <v>63.472999999999999</v>
      </c>
      <c r="F41">
        <v>116.93</v>
      </c>
      <c r="G41">
        <v>36</v>
      </c>
      <c r="H41" t="s">
        <v>160</v>
      </c>
      <c r="I41">
        <v>1999</v>
      </c>
      <c r="J41" t="s">
        <v>161</v>
      </c>
      <c r="K41">
        <v>15</v>
      </c>
      <c r="L41">
        <v>47</v>
      </c>
      <c r="M41">
        <v>38.667999999999999</v>
      </c>
      <c r="N41" s="2">
        <v>42</v>
      </c>
      <c r="O41" t="s">
        <v>162</v>
      </c>
      <c r="P41" t="s">
        <v>168</v>
      </c>
    </row>
    <row r="42" spans="1:16" hidden="1" x14ac:dyDescent="0.2">
      <c r="A42" t="s">
        <v>63</v>
      </c>
      <c r="B42" t="s">
        <v>30</v>
      </c>
      <c r="C42">
        <v>111</v>
      </c>
      <c r="D42">
        <v>70.531999999999996</v>
      </c>
      <c r="E42">
        <v>52.097999999999999</v>
      </c>
      <c r="F42">
        <v>147.66</v>
      </c>
      <c r="G42">
        <v>36</v>
      </c>
      <c r="H42" t="s">
        <v>164</v>
      </c>
      <c r="I42">
        <v>2016</v>
      </c>
      <c r="J42" t="s">
        <v>161</v>
      </c>
      <c r="K42">
        <v>5</v>
      </c>
      <c r="L42">
        <v>42</v>
      </c>
      <c r="M42">
        <v>20.922999999999998</v>
      </c>
      <c r="N42" s="2" t="s">
        <v>165</v>
      </c>
      <c r="O42" t="s">
        <v>162</v>
      </c>
      <c r="P42" t="s">
        <v>168</v>
      </c>
    </row>
    <row r="43" spans="1:16" hidden="1" x14ac:dyDescent="0.2">
      <c r="A43" t="s">
        <v>64</v>
      </c>
      <c r="B43" t="s">
        <v>24</v>
      </c>
      <c r="C43">
        <v>148</v>
      </c>
      <c r="D43">
        <v>93.971000000000004</v>
      </c>
      <c r="E43">
        <v>66.677000000000007</v>
      </c>
      <c r="F43">
        <v>129.86000000000001</v>
      </c>
      <c r="G43">
        <v>24</v>
      </c>
      <c r="H43" t="s">
        <v>160</v>
      </c>
      <c r="I43">
        <v>2013</v>
      </c>
      <c r="J43" t="s">
        <v>161</v>
      </c>
      <c r="K43">
        <v>7</v>
      </c>
      <c r="L43">
        <v>8</v>
      </c>
      <c r="M43">
        <v>42.024000000000001</v>
      </c>
      <c r="N43" s="2" t="s">
        <v>165</v>
      </c>
      <c r="O43" t="s">
        <v>162</v>
      </c>
      <c r="P43" t="s">
        <v>167</v>
      </c>
    </row>
    <row r="44" spans="1:16" hidden="1" x14ac:dyDescent="0.2">
      <c r="A44" t="s">
        <v>65</v>
      </c>
      <c r="B44" t="s">
        <v>30</v>
      </c>
      <c r="C44">
        <v>206</v>
      </c>
      <c r="D44">
        <v>119.06</v>
      </c>
      <c r="E44">
        <v>69.77</v>
      </c>
      <c r="F44">
        <v>157.36000000000001</v>
      </c>
      <c r="G44">
        <v>20</v>
      </c>
      <c r="H44" t="s">
        <v>160</v>
      </c>
      <c r="I44">
        <v>2001</v>
      </c>
      <c r="J44" t="s">
        <v>161</v>
      </c>
      <c r="K44">
        <v>13</v>
      </c>
      <c r="L44">
        <v>45</v>
      </c>
      <c r="M44">
        <v>80.936000000000007</v>
      </c>
      <c r="N44" s="2">
        <v>42</v>
      </c>
      <c r="O44" t="s">
        <v>166</v>
      </c>
      <c r="P44" t="s">
        <v>168</v>
      </c>
    </row>
    <row r="45" spans="1:16" hidden="1" x14ac:dyDescent="0.2">
      <c r="A45" t="s">
        <v>66</v>
      </c>
      <c r="B45" t="s">
        <v>34</v>
      </c>
      <c r="C45">
        <v>115</v>
      </c>
      <c r="D45">
        <v>85.45</v>
      </c>
      <c r="E45">
        <v>53.073999999999998</v>
      </c>
      <c r="F45">
        <v>111.41</v>
      </c>
      <c r="G45">
        <v>20</v>
      </c>
      <c r="H45" t="s">
        <v>164</v>
      </c>
      <c r="I45">
        <v>1993</v>
      </c>
      <c r="J45" t="s">
        <v>169</v>
      </c>
      <c r="K45">
        <v>1</v>
      </c>
      <c r="L45">
        <v>46</v>
      </c>
      <c r="M45">
        <v>38.088000000000001</v>
      </c>
      <c r="N45" s="2">
        <v>36</v>
      </c>
      <c r="O45" t="s">
        <v>162</v>
      </c>
      <c r="P45" t="s">
        <v>168</v>
      </c>
    </row>
    <row r="46" spans="1:16" hidden="1" x14ac:dyDescent="0.2">
      <c r="A46" t="s">
        <v>67</v>
      </c>
      <c r="B46" t="s">
        <v>34</v>
      </c>
      <c r="C46">
        <v>86</v>
      </c>
      <c r="D46">
        <v>86.046000000000006</v>
      </c>
      <c r="E46">
        <v>58.475000000000001</v>
      </c>
      <c r="F46">
        <v>137.4</v>
      </c>
      <c r="G46">
        <v>28</v>
      </c>
      <c r="H46" t="s">
        <v>160</v>
      </c>
      <c r="I46">
        <v>2004</v>
      </c>
      <c r="K46">
        <v>14</v>
      </c>
      <c r="L46">
        <v>12</v>
      </c>
      <c r="M46">
        <v>32.558</v>
      </c>
      <c r="N46" s="2">
        <v>36</v>
      </c>
      <c r="O46" t="s">
        <v>166</v>
      </c>
      <c r="P46" t="s">
        <v>163</v>
      </c>
    </row>
    <row r="47" spans="1:16" hidden="1" x14ac:dyDescent="0.2">
      <c r="A47" t="s">
        <v>68</v>
      </c>
      <c r="B47" t="s">
        <v>17</v>
      </c>
      <c r="C47">
        <v>348</v>
      </c>
      <c r="D47">
        <v>191.32900000000001</v>
      </c>
      <c r="E47">
        <v>116.063</v>
      </c>
      <c r="F47">
        <v>208.12</v>
      </c>
      <c r="G47">
        <v>36</v>
      </c>
      <c r="H47" t="s">
        <v>160</v>
      </c>
      <c r="I47">
        <v>2012</v>
      </c>
      <c r="J47" t="s">
        <v>161</v>
      </c>
      <c r="K47">
        <v>19</v>
      </c>
      <c r="L47">
        <v>9</v>
      </c>
      <c r="M47">
        <v>145.78399999999999</v>
      </c>
      <c r="N47" s="2">
        <v>42</v>
      </c>
      <c r="O47" t="s">
        <v>162</v>
      </c>
      <c r="P47" t="s">
        <v>163</v>
      </c>
    </row>
    <row r="48" spans="1:16" hidden="1" x14ac:dyDescent="0.2">
      <c r="A48" t="s">
        <v>69</v>
      </c>
      <c r="B48" t="s">
        <v>26</v>
      </c>
      <c r="C48">
        <v>142</v>
      </c>
      <c r="D48">
        <v>114.005</v>
      </c>
      <c r="E48">
        <v>75.218999999999994</v>
      </c>
      <c r="F48">
        <v>100.69</v>
      </c>
      <c r="G48">
        <v>36</v>
      </c>
      <c r="H48" t="s">
        <v>160</v>
      </c>
      <c r="I48">
        <v>2000</v>
      </c>
      <c r="J48" t="s">
        <v>161</v>
      </c>
      <c r="K48">
        <v>7</v>
      </c>
      <c r="L48">
        <v>46</v>
      </c>
      <c r="M48">
        <v>32.576999999999998</v>
      </c>
      <c r="N48" s="2">
        <v>36</v>
      </c>
      <c r="O48" t="s">
        <v>166</v>
      </c>
      <c r="P48" t="s">
        <v>168</v>
      </c>
    </row>
    <row r="49" spans="1:16" hidden="1" x14ac:dyDescent="0.2">
      <c r="A49" t="s">
        <v>70</v>
      </c>
      <c r="B49" t="s">
        <v>24</v>
      </c>
      <c r="C49">
        <v>112</v>
      </c>
      <c r="D49">
        <v>100.316</v>
      </c>
      <c r="E49">
        <v>61.203000000000003</v>
      </c>
      <c r="F49">
        <v>118.34</v>
      </c>
      <c r="G49">
        <v>24</v>
      </c>
      <c r="H49" t="s">
        <v>164</v>
      </c>
      <c r="I49">
        <v>1996</v>
      </c>
      <c r="J49" t="s">
        <v>169</v>
      </c>
      <c r="K49">
        <v>4</v>
      </c>
      <c r="L49">
        <v>46</v>
      </c>
      <c r="M49">
        <v>39.517000000000003</v>
      </c>
      <c r="N49" s="2">
        <v>36</v>
      </c>
      <c r="O49" t="s">
        <v>162</v>
      </c>
      <c r="P49" t="s">
        <v>168</v>
      </c>
    </row>
    <row r="50" spans="1:16" hidden="1" x14ac:dyDescent="0.2">
      <c r="A50" t="s">
        <v>71</v>
      </c>
      <c r="B50" t="s">
        <v>34</v>
      </c>
      <c r="C50">
        <v>349</v>
      </c>
      <c r="D50">
        <v>105.62</v>
      </c>
      <c r="E50">
        <v>68.945999999999998</v>
      </c>
      <c r="F50">
        <v>116.2</v>
      </c>
      <c r="G50">
        <v>20</v>
      </c>
      <c r="H50" t="s">
        <v>160</v>
      </c>
      <c r="I50">
        <v>2004</v>
      </c>
      <c r="J50" t="s">
        <v>161</v>
      </c>
      <c r="K50">
        <v>3</v>
      </c>
      <c r="L50">
        <v>14</v>
      </c>
      <c r="M50">
        <v>52.646000000000001</v>
      </c>
      <c r="N50" s="2">
        <v>42</v>
      </c>
      <c r="O50" t="s">
        <v>166</v>
      </c>
      <c r="P50" t="s">
        <v>163</v>
      </c>
    </row>
    <row r="51" spans="1:16" hidden="1" x14ac:dyDescent="0.2">
      <c r="A51" t="s">
        <v>72</v>
      </c>
      <c r="B51" t="s">
        <v>24</v>
      </c>
      <c r="C51">
        <v>222</v>
      </c>
      <c r="D51">
        <v>119.52500000000001</v>
      </c>
      <c r="E51">
        <v>71.718000000000004</v>
      </c>
      <c r="F51">
        <v>151.72999999999999</v>
      </c>
      <c r="G51">
        <v>20</v>
      </c>
      <c r="H51" t="s">
        <v>160</v>
      </c>
      <c r="I51">
        <v>2013</v>
      </c>
      <c r="J51" t="s">
        <v>161</v>
      </c>
      <c r="K51">
        <v>17</v>
      </c>
      <c r="L51">
        <v>8</v>
      </c>
      <c r="M51">
        <v>78.528999999999996</v>
      </c>
      <c r="N51" s="2">
        <v>36</v>
      </c>
      <c r="O51" t="s">
        <v>162</v>
      </c>
      <c r="P51" t="s">
        <v>163</v>
      </c>
    </row>
    <row r="52" spans="1:16" hidden="1" x14ac:dyDescent="0.2">
      <c r="A52" t="s">
        <v>73</v>
      </c>
      <c r="B52" t="s">
        <v>17</v>
      </c>
      <c r="C52">
        <v>59</v>
      </c>
      <c r="D52">
        <v>58.906999999999996</v>
      </c>
      <c r="E52">
        <v>40.100999999999999</v>
      </c>
      <c r="F52">
        <v>110.91</v>
      </c>
      <c r="G52">
        <v>28</v>
      </c>
      <c r="H52" t="s">
        <v>160</v>
      </c>
      <c r="I52">
        <v>1993</v>
      </c>
      <c r="J52" t="s">
        <v>169</v>
      </c>
      <c r="K52">
        <v>1</v>
      </c>
      <c r="L52">
        <v>55</v>
      </c>
      <c r="M52">
        <v>17.7</v>
      </c>
      <c r="N52" s="2" t="s">
        <v>165</v>
      </c>
      <c r="O52" t="s">
        <v>162</v>
      </c>
      <c r="P52" t="s">
        <v>168</v>
      </c>
    </row>
  </sheetData>
  <autoFilter ref="A1:Q52" xr:uid="{76A15E02-9D49-9D43-A1FF-3FE13B9027CD}">
    <filterColumn colId="1">
      <filters>
        <filter val="Horsepower Bay"/>
      </filters>
    </filterColumn>
  </autoFilter>
  <pageMargins left="0.7" right="0.7" top="0.75" bottom="0.75" header="0.3" footer="0.3"/>
  <pageSetup orientation="portrait" verticalDpi="599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D4BA5-08F0-4B5B-BB21-D6B2E0DC316F}">
  <sheetPr>
    <tabColor rgb="FF0070C0"/>
  </sheetPr>
  <dimension ref="A1:U23"/>
  <sheetViews>
    <sheetView tabSelected="1" workbookViewId="0">
      <pane ySplit="1" topLeftCell="A2" activePane="bottomLeft" state="frozen"/>
      <selection activeCell="F1" sqref="F1"/>
      <selection pane="bottomLeft" activeCell="N5" sqref="N5"/>
    </sheetView>
  </sheetViews>
  <sheetFormatPr baseColWidth="10" defaultColWidth="8.83203125" defaultRowHeight="15" x14ac:dyDescent="0.2"/>
  <cols>
    <col min="1" max="1" width="23.6640625" bestFit="1" customWidth="1"/>
    <col min="2" max="2" width="15.1640625" bestFit="1" customWidth="1"/>
    <col min="3" max="3" width="14.33203125" bestFit="1" customWidth="1"/>
    <col min="4" max="4" width="13.5" bestFit="1" customWidth="1"/>
    <col min="5" max="5" width="18.1640625" bestFit="1" customWidth="1"/>
    <col min="6" max="6" width="18" bestFit="1" customWidth="1"/>
    <col min="7" max="7" width="12.5" bestFit="1" customWidth="1"/>
    <col min="8" max="8" width="14.33203125" bestFit="1" customWidth="1"/>
    <col min="9" max="9" width="12.33203125" bestFit="1" customWidth="1"/>
    <col min="10" max="17" width="11.6640625" bestFit="1" customWidth="1"/>
    <col min="18" max="18" width="10.83203125" bestFit="1" customWidth="1"/>
    <col min="19" max="19" width="12.83203125" bestFit="1" customWidth="1"/>
    <col min="20" max="20" width="10.83203125" bestFit="1" customWidth="1"/>
    <col min="21" max="21" width="12.83203125" bestFit="1" customWidth="1"/>
  </cols>
  <sheetData>
    <row r="1" spans="1:21" x14ac:dyDescent="0.2">
      <c r="A1" s="5" t="s">
        <v>1</v>
      </c>
      <c r="B1" s="5" t="s">
        <v>74</v>
      </c>
      <c r="C1" s="5" t="s">
        <v>75</v>
      </c>
      <c r="D1" s="5" t="s">
        <v>76</v>
      </c>
      <c r="E1" s="5" t="s">
        <v>77</v>
      </c>
      <c r="F1" s="5" t="s">
        <v>78</v>
      </c>
      <c r="G1" s="5" t="s">
        <v>79</v>
      </c>
      <c r="H1" s="5" t="s">
        <v>80</v>
      </c>
      <c r="I1" s="5" t="s">
        <v>81</v>
      </c>
      <c r="J1" s="5" t="s">
        <v>82</v>
      </c>
      <c r="K1" s="5" t="s">
        <v>83</v>
      </c>
      <c r="L1" s="5" t="s">
        <v>84</v>
      </c>
      <c r="M1" s="5" t="s">
        <v>85</v>
      </c>
      <c r="N1" s="5" t="s">
        <v>86</v>
      </c>
      <c r="O1" s="5" t="s">
        <v>87</v>
      </c>
      <c r="P1" s="5" t="s">
        <v>88</v>
      </c>
      <c r="Q1" s="5" t="s">
        <v>89</v>
      </c>
      <c r="R1" s="5" t="s">
        <v>90</v>
      </c>
      <c r="S1" s="5" t="s">
        <v>91</v>
      </c>
      <c r="T1" s="5" t="s">
        <v>92</v>
      </c>
      <c r="U1" s="5" t="s">
        <v>93</v>
      </c>
    </row>
    <row r="2" spans="1:21" x14ac:dyDescent="0.2">
      <c r="A2" t="s">
        <v>26</v>
      </c>
      <c r="B2" t="s">
        <v>94</v>
      </c>
      <c r="C2" t="s">
        <v>95</v>
      </c>
      <c r="D2" t="s">
        <v>96</v>
      </c>
      <c r="E2">
        <v>45</v>
      </c>
      <c r="F2">
        <v>923943</v>
      </c>
      <c r="G2">
        <v>77.540000000000006</v>
      </c>
      <c r="H2">
        <v>38.36</v>
      </c>
      <c r="I2">
        <v>48.55</v>
      </c>
      <c r="J2">
        <v>130810</v>
      </c>
      <c r="K2">
        <v>166485</v>
      </c>
      <c r="L2">
        <v>75315</v>
      </c>
      <c r="M2">
        <v>23784</v>
      </c>
      <c r="N2">
        <v>144446</v>
      </c>
      <c r="O2">
        <v>194254</v>
      </c>
      <c r="P2">
        <v>104599</v>
      </c>
      <c r="Q2">
        <v>54790</v>
      </c>
      <c r="R2">
        <v>195638</v>
      </c>
      <c r="S2">
        <v>200756</v>
      </c>
      <c r="T2">
        <v>242875</v>
      </c>
      <c r="U2">
        <v>255214</v>
      </c>
    </row>
    <row r="3" spans="1:21" x14ac:dyDescent="0.2">
      <c r="A3" t="s">
        <v>30</v>
      </c>
      <c r="B3" t="s">
        <v>94</v>
      </c>
      <c r="C3" t="s">
        <v>97</v>
      </c>
      <c r="D3" t="s">
        <v>98</v>
      </c>
      <c r="E3">
        <v>30</v>
      </c>
      <c r="F3">
        <v>525327</v>
      </c>
      <c r="G3">
        <v>75.13</v>
      </c>
      <c r="H3">
        <v>49.58</v>
      </c>
      <c r="I3">
        <v>178.11</v>
      </c>
      <c r="J3">
        <v>56345</v>
      </c>
      <c r="K3">
        <v>110435</v>
      </c>
      <c r="L3">
        <v>28172</v>
      </c>
      <c r="M3">
        <v>30426</v>
      </c>
      <c r="N3">
        <v>187627</v>
      </c>
      <c r="O3">
        <v>167343</v>
      </c>
      <c r="P3">
        <v>91278</v>
      </c>
      <c r="Q3">
        <v>60852</v>
      </c>
      <c r="R3">
        <v>115448</v>
      </c>
      <c r="S3">
        <v>109930</v>
      </c>
      <c r="T3">
        <v>265562</v>
      </c>
      <c r="U3">
        <v>241538</v>
      </c>
    </row>
    <row r="4" spans="1:21" x14ac:dyDescent="0.2">
      <c r="A4" t="s">
        <v>17</v>
      </c>
      <c r="B4" t="s">
        <v>99</v>
      </c>
      <c r="C4" t="s">
        <v>100</v>
      </c>
      <c r="D4" t="s">
        <v>101</v>
      </c>
      <c r="E4">
        <v>23.167999999999999</v>
      </c>
      <c r="F4">
        <v>1707802</v>
      </c>
      <c r="G4">
        <v>52.69</v>
      </c>
      <c r="H4">
        <v>24.77</v>
      </c>
      <c r="I4">
        <v>72.61</v>
      </c>
      <c r="J4">
        <v>139211</v>
      </c>
      <c r="K4">
        <v>245450</v>
      </c>
      <c r="L4">
        <v>230797</v>
      </c>
      <c r="M4">
        <v>117230</v>
      </c>
      <c r="N4">
        <v>170873</v>
      </c>
      <c r="O4">
        <v>290484</v>
      </c>
      <c r="P4">
        <v>256310</v>
      </c>
      <c r="Q4">
        <v>136699</v>
      </c>
      <c r="R4">
        <v>378166</v>
      </c>
      <c r="S4">
        <v>354522</v>
      </c>
      <c r="T4">
        <v>427061</v>
      </c>
      <c r="U4">
        <v>427305</v>
      </c>
    </row>
    <row r="5" spans="1:21" x14ac:dyDescent="0.2">
      <c r="A5" t="s">
        <v>34</v>
      </c>
      <c r="B5" t="s">
        <v>94</v>
      </c>
      <c r="C5" t="s">
        <v>102</v>
      </c>
      <c r="D5" t="s">
        <v>103</v>
      </c>
      <c r="E5">
        <v>40</v>
      </c>
      <c r="F5">
        <v>1291517</v>
      </c>
      <c r="G5">
        <v>72.64</v>
      </c>
      <c r="H5">
        <v>52.6</v>
      </c>
      <c r="I5">
        <v>187.97</v>
      </c>
      <c r="J5">
        <v>24741</v>
      </c>
      <c r="K5">
        <v>38965</v>
      </c>
      <c r="L5">
        <v>21497</v>
      </c>
      <c r="M5">
        <v>30309</v>
      </c>
      <c r="N5">
        <v>159981</v>
      </c>
      <c r="O5">
        <v>249624</v>
      </c>
      <c r="P5">
        <v>119411</v>
      </c>
      <c r="Q5">
        <v>111305</v>
      </c>
      <c r="R5">
        <v>59703</v>
      </c>
      <c r="S5">
        <v>55809</v>
      </c>
      <c r="T5">
        <v>325581</v>
      </c>
      <c r="U5">
        <v>314740</v>
      </c>
    </row>
    <row r="6" spans="1:21" x14ac:dyDescent="0.2">
      <c r="A6" t="s">
        <v>19</v>
      </c>
      <c r="B6" t="s">
        <v>94</v>
      </c>
      <c r="C6" t="s">
        <v>104</v>
      </c>
      <c r="D6" t="s">
        <v>105</v>
      </c>
      <c r="E6">
        <v>30</v>
      </c>
      <c r="F6">
        <v>795173</v>
      </c>
      <c r="G6">
        <v>49.78</v>
      </c>
      <c r="H6">
        <v>37.549999999999997</v>
      </c>
      <c r="I6">
        <v>160.19</v>
      </c>
      <c r="J6">
        <v>26342</v>
      </c>
      <c r="K6">
        <v>27556</v>
      </c>
      <c r="L6">
        <v>50253</v>
      </c>
      <c r="M6">
        <v>17326</v>
      </c>
      <c r="N6">
        <v>284985</v>
      </c>
      <c r="O6">
        <v>276150</v>
      </c>
      <c r="P6">
        <v>189599</v>
      </c>
      <c r="Q6">
        <v>116426</v>
      </c>
      <c r="R6">
        <v>60343</v>
      </c>
      <c r="S6">
        <v>61134</v>
      </c>
      <c r="T6">
        <v>450650</v>
      </c>
      <c r="U6">
        <v>416510</v>
      </c>
    </row>
    <row r="7" spans="1:21" x14ac:dyDescent="0.2">
      <c r="A7" t="s">
        <v>24</v>
      </c>
      <c r="B7" t="s">
        <v>94</v>
      </c>
      <c r="C7" t="s">
        <v>106</v>
      </c>
      <c r="D7" t="s">
        <v>107</v>
      </c>
      <c r="E7">
        <v>50</v>
      </c>
      <c r="F7">
        <v>2137262</v>
      </c>
      <c r="G7">
        <v>61.54</v>
      </c>
      <c r="H7">
        <v>23.96</v>
      </c>
      <c r="I7">
        <v>65.89</v>
      </c>
      <c r="J7">
        <v>126216</v>
      </c>
      <c r="K7">
        <v>138973</v>
      </c>
      <c r="L7">
        <v>83540</v>
      </c>
      <c r="M7">
        <v>76466</v>
      </c>
      <c r="N7">
        <v>426472</v>
      </c>
      <c r="O7">
        <v>413251</v>
      </c>
      <c r="P7">
        <v>216109</v>
      </c>
      <c r="Q7">
        <v>241850</v>
      </c>
      <c r="R7">
        <v>207850</v>
      </c>
      <c r="S7">
        <v>217345</v>
      </c>
      <c r="T7">
        <v>673191</v>
      </c>
      <c r="U7">
        <v>624491</v>
      </c>
    </row>
    <row r="8" spans="1:21" x14ac:dyDescent="0.2">
      <c r="A8" t="s">
        <v>22</v>
      </c>
      <c r="B8" t="s">
        <v>108</v>
      </c>
      <c r="C8" t="s">
        <v>109</v>
      </c>
      <c r="D8" t="s">
        <v>109</v>
      </c>
      <c r="E8">
        <v>18.335999999999999</v>
      </c>
      <c r="F8">
        <v>3147903</v>
      </c>
      <c r="G8">
        <v>74.849999999999994</v>
      </c>
      <c r="H8">
        <v>42.1</v>
      </c>
      <c r="I8">
        <v>93.22</v>
      </c>
      <c r="J8">
        <v>2227650</v>
      </c>
      <c r="K8">
        <v>2025126</v>
      </c>
      <c r="L8">
        <v>1354201</v>
      </c>
      <c r="M8">
        <v>586370</v>
      </c>
      <c r="N8">
        <v>4277844</v>
      </c>
      <c r="O8">
        <v>3384121</v>
      </c>
      <c r="P8">
        <v>1301306</v>
      </c>
      <c r="Q8">
        <v>1295728</v>
      </c>
      <c r="R8">
        <v>3088526</v>
      </c>
      <c r="S8">
        <v>3104821</v>
      </c>
      <c r="T8">
        <v>5199724</v>
      </c>
      <c r="U8">
        <v>5059275</v>
      </c>
    </row>
    <row r="17" spans="5:5" x14ac:dyDescent="0.2">
      <c r="E17" s="6" cm="1">
        <f t="array" ref="E17:E23">E2:E8*F2:F8</f>
        <v>41577435</v>
      </c>
    </row>
    <row r="18" spans="5:5" x14ac:dyDescent="0.2">
      <c r="E18" s="6">
        <v>15759810</v>
      </c>
    </row>
    <row r="19" spans="5:5" x14ac:dyDescent="0.2">
      <c r="E19" s="6">
        <v>39566356.736000001</v>
      </c>
    </row>
    <row r="20" spans="5:5" x14ac:dyDescent="0.2">
      <c r="E20" s="6">
        <v>51660680</v>
      </c>
    </row>
    <row r="21" spans="5:5" x14ac:dyDescent="0.2">
      <c r="E21" s="6">
        <v>23855190</v>
      </c>
    </row>
    <row r="22" spans="5:5" x14ac:dyDescent="0.2">
      <c r="E22" s="6">
        <v>106863100</v>
      </c>
    </row>
    <row r="23" spans="5:5" x14ac:dyDescent="0.2">
      <c r="E23" s="6">
        <v>57719949.407999992</v>
      </c>
    </row>
  </sheetData>
  <autoFilter ref="A1:U4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1EF95-A6E0-4D97-ADAB-4AB349F4FC2D}">
  <sheetPr>
    <tabColor theme="1"/>
  </sheetPr>
  <dimension ref="A1:C42"/>
  <sheetViews>
    <sheetView showGridLines="0" topLeftCell="A20" workbookViewId="0">
      <selection activeCell="B40" sqref="B40"/>
    </sheetView>
  </sheetViews>
  <sheetFormatPr baseColWidth="10" defaultColWidth="8.83203125" defaultRowHeight="15" x14ac:dyDescent="0.2"/>
  <cols>
    <col min="1" max="1" width="20.6640625" bestFit="1" customWidth="1"/>
    <col min="2" max="2" width="104" bestFit="1" customWidth="1"/>
    <col min="3" max="3" width="15.5" customWidth="1"/>
  </cols>
  <sheetData>
    <row r="1" spans="1:3" ht="21" x14ac:dyDescent="0.25">
      <c r="A1" s="3" t="s">
        <v>110</v>
      </c>
    </row>
    <row r="2" spans="1:3" x14ac:dyDescent="0.2">
      <c r="A2" s="1" t="s">
        <v>111</v>
      </c>
      <c r="B2" s="1" t="s">
        <v>112</v>
      </c>
      <c r="C2" s="1" t="s">
        <v>113</v>
      </c>
    </row>
    <row r="3" spans="1:3" x14ac:dyDescent="0.2">
      <c r="A3" t="s">
        <v>0</v>
      </c>
      <c r="B3" t="s">
        <v>114</v>
      </c>
    </row>
    <row r="4" spans="1:3" x14ac:dyDescent="0.2">
      <c r="A4" t="s">
        <v>1</v>
      </c>
      <c r="B4" t="s">
        <v>115</v>
      </c>
    </row>
    <row r="5" spans="1:3" x14ac:dyDescent="0.2">
      <c r="A5" t="s">
        <v>2</v>
      </c>
      <c r="B5" t="s">
        <v>116</v>
      </c>
      <c r="C5" t="s">
        <v>117</v>
      </c>
    </row>
    <row r="6" spans="1:3" x14ac:dyDescent="0.2">
      <c r="A6" t="s">
        <v>3</v>
      </c>
      <c r="B6" t="s">
        <v>118</v>
      </c>
      <c r="C6" t="s">
        <v>119</v>
      </c>
    </row>
    <row r="7" spans="1:3" x14ac:dyDescent="0.2">
      <c r="A7" t="s">
        <v>4</v>
      </c>
      <c r="B7" t="s">
        <v>120</v>
      </c>
      <c r="C7" t="s">
        <v>119</v>
      </c>
    </row>
    <row r="8" spans="1:3" x14ac:dyDescent="0.2">
      <c r="A8" t="s">
        <v>5</v>
      </c>
      <c r="B8" t="s">
        <v>121</v>
      </c>
      <c r="C8" t="s">
        <v>122</v>
      </c>
    </row>
    <row r="9" spans="1:3" x14ac:dyDescent="0.2">
      <c r="A9" t="s">
        <v>6</v>
      </c>
      <c r="B9" t="s">
        <v>123</v>
      </c>
    </row>
    <row r="10" spans="1:3" x14ac:dyDescent="0.2">
      <c r="A10" t="s">
        <v>7</v>
      </c>
      <c r="B10" t="s">
        <v>124</v>
      </c>
    </row>
    <row r="11" spans="1:3" x14ac:dyDescent="0.2">
      <c r="A11" t="s">
        <v>8</v>
      </c>
      <c r="B11" t="s">
        <v>125</v>
      </c>
    </row>
    <row r="12" spans="1:3" x14ac:dyDescent="0.2">
      <c r="A12" t="s">
        <v>9</v>
      </c>
      <c r="B12" t="s">
        <v>126</v>
      </c>
    </row>
    <row r="13" spans="1:3" x14ac:dyDescent="0.2">
      <c r="A13" t="s">
        <v>10</v>
      </c>
      <c r="B13" t="s">
        <v>127</v>
      </c>
    </row>
    <row r="14" spans="1:3" x14ac:dyDescent="0.2">
      <c r="A14" t="s">
        <v>11</v>
      </c>
      <c r="B14" t="s">
        <v>128</v>
      </c>
    </row>
    <row r="15" spans="1:3" x14ac:dyDescent="0.2">
      <c r="A15" t="s">
        <v>12</v>
      </c>
      <c r="B15" t="s">
        <v>129</v>
      </c>
      <c r="C15" t="s">
        <v>130</v>
      </c>
    </row>
    <row r="16" spans="1:3" x14ac:dyDescent="0.2">
      <c r="A16" t="s">
        <v>131</v>
      </c>
      <c r="B16" t="s">
        <v>132</v>
      </c>
      <c r="C16" t="s">
        <v>133</v>
      </c>
    </row>
    <row r="17" spans="1:3" x14ac:dyDescent="0.2">
      <c r="A17" t="s">
        <v>14</v>
      </c>
      <c r="B17" t="s">
        <v>134</v>
      </c>
    </row>
    <row r="18" spans="1:3" x14ac:dyDescent="0.2">
      <c r="A18" t="s">
        <v>15</v>
      </c>
      <c r="B18" t="s">
        <v>135</v>
      </c>
    </row>
    <row r="20" spans="1:3" ht="21" x14ac:dyDescent="0.25">
      <c r="A20" s="3" t="s">
        <v>136</v>
      </c>
    </row>
    <row r="21" spans="1:3" x14ac:dyDescent="0.2">
      <c r="A21" s="1" t="s">
        <v>111</v>
      </c>
      <c r="B21" s="1" t="s">
        <v>112</v>
      </c>
      <c r="C21" s="1" t="s">
        <v>113</v>
      </c>
    </row>
    <row r="22" spans="1:3" x14ac:dyDescent="0.2">
      <c r="A22" t="s">
        <v>1</v>
      </c>
      <c r="B22" t="s">
        <v>137</v>
      </c>
    </row>
    <row r="23" spans="1:3" x14ac:dyDescent="0.2">
      <c r="A23" t="s">
        <v>74</v>
      </c>
      <c r="B23" t="s">
        <v>138</v>
      </c>
    </row>
    <row r="24" spans="1:3" x14ac:dyDescent="0.2">
      <c r="A24" t="s">
        <v>75</v>
      </c>
      <c r="B24" t="s">
        <v>139</v>
      </c>
    </row>
    <row r="25" spans="1:3" x14ac:dyDescent="0.2">
      <c r="A25" t="s">
        <v>76</v>
      </c>
      <c r="B25" t="s">
        <v>140</v>
      </c>
    </row>
    <row r="26" spans="1:3" x14ac:dyDescent="0.2">
      <c r="A26" t="s">
        <v>77</v>
      </c>
      <c r="B26" t="s">
        <v>141</v>
      </c>
      <c r="C26" t="s">
        <v>142</v>
      </c>
    </row>
    <row r="27" spans="1:3" x14ac:dyDescent="0.2">
      <c r="A27" t="s">
        <v>78</v>
      </c>
      <c r="B27" t="s">
        <v>143</v>
      </c>
    </row>
    <row r="28" spans="1:3" x14ac:dyDescent="0.2">
      <c r="A28" t="s">
        <v>79</v>
      </c>
      <c r="B28" t="s">
        <v>144</v>
      </c>
      <c r="C28" s="4" t="s">
        <v>145</v>
      </c>
    </row>
    <row r="29" spans="1:3" x14ac:dyDescent="0.2">
      <c r="A29" t="s">
        <v>80</v>
      </c>
      <c r="B29" t="s">
        <v>146</v>
      </c>
      <c r="C29" t="s">
        <v>133</v>
      </c>
    </row>
    <row r="30" spans="1:3" x14ac:dyDescent="0.2">
      <c r="A30" t="s">
        <v>81</v>
      </c>
      <c r="B30" t="s">
        <v>147</v>
      </c>
    </row>
    <row r="31" spans="1:3" x14ac:dyDescent="0.2">
      <c r="A31" t="s">
        <v>82</v>
      </c>
      <c r="B31" t="s">
        <v>148</v>
      </c>
    </row>
    <row r="32" spans="1:3" x14ac:dyDescent="0.2">
      <c r="A32" t="s">
        <v>83</v>
      </c>
      <c r="B32" t="s">
        <v>149</v>
      </c>
    </row>
    <row r="33" spans="1:2" x14ac:dyDescent="0.2">
      <c r="A33" t="s">
        <v>84</v>
      </c>
      <c r="B33" t="s">
        <v>150</v>
      </c>
    </row>
    <row r="34" spans="1:2" x14ac:dyDescent="0.2">
      <c r="A34" t="s">
        <v>85</v>
      </c>
      <c r="B34" t="s">
        <v>151</v>
      </c>
    </row>
    <row r="35" spans="1:2" x14ac:dyDescent="0.2">
      <c r="A35" t="s">
        <v>86</v>
      </c>
      <c r="B35" t="s">
        <v>152</v>
      </c>
    </row>
    <row r="36" spans="1:2" x14ac:dyDescent="0.2">
      <c r="A36" t="s">
        <v>87</v>
      </c>
      <c r="B36" t="s">
        <v>153</v>
      </c>
    </row>
    <row r="37" spans="1:2" x14ac:dyDescent="0.2">
      <c r="A37" t="s">
        <v>88</v>
      </c>
      <c r="B37" t="s">
        <v>154</v>
      </c>
    </row>
    <row r="38" spans="1:2" x14ac:dyDescent="0.2">
      <c r="A38" t="s">
        <v>89</v>
      </c>
      <c r="B38" t="s">
        <v>155</v>
      </c>
    </row>
    <row r="39" spans="1:2" x14ac:dyDescent="0.2">
      <c r="A39" t="s">
        <v>90</v>
      </c>
      <c r="B39" t="s">
        <v>156</v>
      </c>
    </row>
    <row r="40" spans="1:2" x14ac:dyDescent="0.2">
      <c r="A40" t="s">
        <v>91</v>
      </c>
      <c r="B40" t="s">
        <v>157</v>
      </c>
    </row>
    <row r="41" spans="1:2" x14ac:dyDescent="0.2">
      <c r="A41" t="s">
        <v>92</v>
      </c>
      <c r="B41" t="s">
        <v>158</v>
      </c>
    </row>
    <row r="42" spans="1:2" x14ac:dyDescent="0.2">
      <c r="A42" t="s">
        <v>93</v>
      </c>
      <c r="B42" t="s">
        <v>159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Coaster_Data</vt:lpstr>
      <vt:lpstr>Park_Data</vt:lpstr>
      <vt:lpstr>Data Dictionary</vt:lpstr>
    </vt:vector>
  </TitlesOfParts>
  <Company>GuideWell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Grossi, Tyler</dc:creator>
  <cp:lastModifiedBy>Microsoft Office User</cp:lastModifiedBy>
  <dcterms:created xsi:type="dcterms:W3CDTF">2020-07-28T17:47:31Z</dcterms:created>
  <dcterms:modified xsi:type="dcterms:W3CDTF">2020-10-22T14:37:47Z</dcterms:modified>
</cp:coreProperties>
</file>